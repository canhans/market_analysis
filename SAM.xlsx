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hansen/Desktop/Pazar_Analizi/WebApp/"/>
    </mc:Choice>
  </mc:AlternateContent>
  <xr:revisionPtr revIDLastSave="0" documentId="13_ncr:1_{B298657C-0999-F74A-8587-58F4C7A6EB70}" xr6:coauthVersionLast="47" xr6:coauthVersionMax="47" xr10:uidLastSave="{00000000-0000-0000-0000-000000000000}"/>
  <bookViews>
    <workbookView xWindow="1160" yWindow="940" windowWidth="27640" windowHeight="16440" activeTab="6" xr2:uid="{D4752540-C265-4449-973B-604979D8A07D}"/>
  </bookViews>
  <sheets>
    <sheet name="PDLC_Regional" sheetId="1" r:id="rId1"/>
    <sheet name="SPD_Regional" sheetId="2" r:id="rId2"/>
    <sheet name="Total_Regional" sheetId="3" r:id="rId3"/>
    <sheet name="Technology_Total" sheetId="4" r:id="rId4"/>
    <sheet name="PDLC_Dis_Cephe_Yillik" sheetId="5" r:id="rId5"/>
    <sheet name="PDLC_Ic_Cephe_Yillik" sheetId="6" r:id="rId6"/>
    <sheet name="SPD_Dis_Cephe_Yillik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7" l="1"/>
  <c r="B12" i="5"/>
  <c r="B12" i="6"/>
  <c r="C13" i="4"/>
  <c r="B13" i="4"/>
  <c r="D12" i="4"/>
  <c r="D11" i="4"/>
  <c r="D10" i="4"/>
  <c r="D9" i="4"/>
  <c r="D8" i="4"/>
  <c r="D7" i="4"/>
  <c r="D6" i="4"/>
  <c r="D5" i="4"/>
  <c r="D4" i="4"/>
  <c r="D3" i="4"/>
  <c r="E13" i="2"/>
  <c r="D13" i="2"/>
  <c r="C13" i="2"/>
  <c r="B13" i="2"/>
  <c r="F12" i="2"/>
  <c r="F11" i="2"/>
  <c r="F10" i="2"/>
  <c r="F9" i="2"/>
  <c r="F8" i="2"/>
  <c r="F7" i="2"/>
  <c r="F6" i="2"/>
  <c r="F5" i="2"/>
  <c r="F4" i="2"/>
  <c r="F3" i="2"/>
  <c r="D13" i="4" l="1"/>
  <c r="F13" i="2"/>
</calcChain>
</file>

<file path=xl/sharedStrings.xml><?xml version="1.0" encoding="utf-8"?>
<sst xmlns="http://schemas.openxmlformats.org/spreadsheetml/2006/main" count="36" uniqueCount="21">
  <si>
    <t>Topyekün (Bölgelere Göre)</t>
  </si>
  <si>
    <t>Yıllar</t>
  </si>
  <si>
    <r>
      <t>Avrupa + Rusya (m</t>
    </r>
    <r>
      <rPr>
        <b/>
        <vertAlign val="superscript"/>
        <sz val="9"/>
        <color rgb="FF000000"/>
        <rFont val="Aptos"/>
        <family val="2"/>
      </rPr>
      <t>2</t>
    </r>
    <r>
      <rPr>
        <b/>
        <sz val="9"/>
        <color rgb="FF000000"/>
        <rFont val="Aptos"/>
        <family val="2"/>
      </rPr>
      <t>)</t>
    </r>
  </si>
  <si>
    <r>
      <t xml:space="preserve"> Orta Doğu (m</t>
    </r>
    <r>
      <rPr>
        <b/>
        <vertAlign val="superscript"/>
        <sz val="9"/>
        <color rgb="FF000000"/>
        <rFont val="Aptos"/>
        <family val="2"/>
      </rPr>
      <t>2</t>
    </r>
    <r>
      <rPr>
        <b/>
        <sz val="9"/>
        <color rgb="FF000000"/>
        <rFont val="Aptos"/>
        <family val="2"/>
      </rPr>
      <t>)</t>
    </r>
  </si>
  <si>
    <r>
      <t>Kuzey Amerika (m</t>
    </r>
    <r>
      <rPr>
        <b/>
        <vertAlign val="superscript"/>
        <sz val="9"/>
        <color rgb="FF000000"/>
        <rFont val="Aptos"/>
        <family val="2"/>
      </rPr>
      <t>2</t>
    </r>
    <r>
      <rPr>
        <b/>
        <sz val="9"/>
        <color rgb="FF000000"/>
        <rFont val="Aptos"/>
        <family val="2"/>
      </rPr>
      <t>)</t>
    </r>
  </si>
  <si>
    <r>
      <t>Türkiye (m</t>
    </r>
    <r>
      <rPr>
        <b/>
        <vertAlign val="superscript"/>
        <sz val="9"/>
        <color rgb="FF000000"/>
        <rFont val="Aptos"/>
        <family val="2"/>
      </rPr>
      <t>2</t>
    </r>
    <r>
      <rPr>
        <b/>
        <sz val="9"/>
        <color rgb="FF000000"/>
        <rFont val="Aptos"/>
        <family val="2"/>
      </rPr>
      <t>)</t>
    </r>
  </si>
  <si>
    <r>
      <t>Toplam (m</t>
    </r>
    <r>
      <rPr>
        <b/>
        <vertAlign val="superscript"/>
        <sz val="9"/>
        <color rgb="FF000000"/>
        <rFont val="Aptos"/>
        <family val="2"/>
      </rPr>
      <t>2</t>
    </r>
    <r>
      <rPr>
        <b/>
        <sz val="9"/>
        <color rgb="FF000000"/>
        <rFont val="Aptos"/>
        <family val="2"/>
      </rPr>
      <t>)</t>
    </r>
  </si>
  <si>
    <t>Kümülatif</t>
  </si>
  <si>
    <t>Sadece PDLC (Bölgelere Göre)</t>
  </si>
  <si>
    <t>Sadece SPD (Bölgelere Göre)</t>
  </si>
  <si>
    <t>Avrupa + Rusya (m2)</t>
  </si>
  <si>
    <t xml:space="preserve"> Orta Doğu (m2)</t>
  </si>
  <si>
    <t>Kuzey Amerika (m2)</t>
  </si>
  <si>
    <t>Türkiye (m2)</t>
  </si>
  <si>
    <t>Toplam (m2)</t>
  </si>
  <si>
    <t>Teknolojiye Göre</t>
  </si>
  <si>
    <r>
      <t>PDLC Toplam (m</t>
    </r>
    <r>
      <rPr>
        <b/>
        <vertAlign val="superscript"/>
        <sz val="9"/>
        <color rgb="FF000000"/>
        <rFont val="Aptos"/>
        <family val="2"/>
      </rPr>
      <t>2</t>
    </r>
    <r>
      <rPr>
        <b/>
        <sz val="9"/>
        <color rgb="FF000000"/>
        <rFont val="Aptos"/>
        <family val="2"/>
      </rPr>
      <t>)</t>
    </r>
  </si>
  <si>
    <r>
      <t>SPD Toplam (m</t>
    </r>
    <r>
      <rPr>
        <b/>
        <vertAlign val="superscript"/>
        <sz val="9"/>
        <color rgb="FF000000"/>
        <rFont val="Aptos"/>
        <family val="2"/>
      </rPr>
      <t>2</t>
    </r>
    <r>
      <rPr>
        <b/>
        <sz val="9"/>
        <color rgb="FF000000"/>
        <rFont val="Aptos"/>
        <family val="2"/>
      </rPr>
      <t>)</t>
    </r>
  </si>
  <si>
    <t>PDLC iç Cephe (m2)</t>
  </si>
  <si>
    <t>PDLC Dış Cephe (m2)</t>
  </si>
  <si>
    <t>SPD Dış Cephe(m2)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</si>
</sst>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9"/>
      <color rgb="FF000000"/>
      <name val="Aptos"/>
      <family val="2"/>
    </font>
    <font>
      <b/>
      <sz val="9"/>
      <color rgb="FF000000"/>
      <name val="Aptos"/>
      <family val="2"/>
    </font>
    <font>
      <b/>
      <vertAlign val="superscript"/>
      <sz val="9"/>
      <color rgb="FF000000"/>
      <name val="Aptos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0A8B-19CE-A845-8458-387076B15ACA}">
  <dimension ref="A1:F13"/>
  <sheetViews>
    <sheetView workbookViewId="0">
      <selection activeCell="D11" sqref="D11"/>
    </sheetView>
  </sheetViews>
  <sheetFormatPr baseColWidth="10" defaultRowHeight="16" x14ac:dyDescent="0.2"/>
  <cols>
    <col min="2" max="2" width="17.33203125" customWidth="1"/>
    <col min="3" max="4" width="16.6640625" customWidth="1"/>
    <col min="5" max="5" width="15.6640625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</row>
    <row r="3" spans="1:6" x14ac:dyDescent="0.2">
      <c r="A3" s="1">
        <v>2026</v>
      </c>
      <c r="B3" s="4">
        <v>1244111</v>
      </c>
      <c r="C3" s="4">
        <v>1533412</v>
      </c>
      <c r="D3" s="4">
        <v>2591261</v>
      </c>
      <c r="E3" s="5">
        <v>4489</v>
      </c>
      <c r="F3" s="6">
        <v>5373273</v>
      </c>
    </row>
    <row r="4" spans="1:6" x14ac:dyDescent="0.2">
      <c r="A4" s="1">
        <v>2027</v>
      </c>
      <c r="B4" s="4">
        <v>1333687</v>
      </c>
      <c r="C4" s="4">
        <v>1717410</v>
      </c>
      <c r="D4" s="4">
        <v>2809980</v>
      </c>
      <c r="E4" s="5">
        <v>4989</v>
      </c>
      <c r="F4" s="6">
        <v>5866067</v>
      </c>
    </row>
    <row r="5" spans="1:6" x14ac:dyDescent="0.2">
      <c r="A5" s="1">
        <v>2028</v>
      </c>
      <c r="B5" s="4">
        <v>1430570</v>
      </c>
      <c r="C5" s="4">
        <v>1923310</v>
      </c>
      <c r="D5" s="4">
        <v>3045514</v>
      </c>
      <c r="E5" s="5">
        <v>5555</v>
      </c>
      <c r="F5" s="6">
        <v>6404949</v>
      </c>
    </row>
    <row r="6" spans="1:6" x14ac:dyDescent="0.2">
      <c r="A6" s="1">
        <v>2029</v>
      </c>
      <c r="B6" s="4">
        <v>1535412</v>
      </c>
      <c r="C6" s="4">
        <v>2157761</v>
      </c>
      <c r="D6" s="4">
        <v>3302682</v>
      </c>
      <c r="E6" s="5">
        <v>6153</v>
      </c>
      <c r="F6" s="6">
        <v>7002008</v>
      </c>
    </row>
    <row r="7" spans="1:6" x14ac:dyDescent="0.2">
      <c r="A7" s="1">
        <v>2030</v>
      </c>
      <c r="B7" s="4">
        <v>1654432</v>
      </c>
      <c r="C7" s="4">
        <v>2419573</v>
      </c>
      <c r="D7" s="4">
        <v>3582528</v>
      </c>
      <c r="E7" s="5">
        <v>6817</v>
      </c>
      <c r="F7" s="6">
        <v>7663350</v>
      </c>
    </row>
    <row r="8" spans="1:6" x14ac:dyDescent="0.2">
      <c r="A8" s="1">
        <v>2031</v>
      </c>
      <c r="B8" s="4">
        <v>1739265</v>
      </c>
      <c r="C8" s="4">
        <v>2650511</v>
      </c>
      <c r="D8" s="4">
        <v>3783782</v>
      </c>
      <c r="E8" s="5">
        <v>7423</v>
      </c>
      <c r="F8" s="6">
        <v>8180980</v>
      </c>
    </row>
    <row r="9" spans="1:6" x14ac:dyDescent="0.2">
      <c r="A9" s="1">
        <v>2032</v>
      </c>
      <c r="B9" s="4">
        <v>1830814</v>
      </c>
      <c r="C9" s="4">
        <v>2903774</v>
      </c>
      <c r="D9" s="4">
        <v>3995297</v>
      </c>
      <c r="E9" s="5">
        <v>8163</v>
      </c>
      <c r="F9" s="6">
        <v>8738048</v>
      </c>
    </row>
    <row r="10" spans="1:6" x14ac:dyDescent="0.2">
      <c r="A10" s="1">
        <v>2033</v>
      </c>
      <c r="B10" s="4">
        <v>1930975</v>
      </c>
      <c r="C10" s="4">
        <v>3186416</v>
      </c>
      <c r="D10" s="4">
        <v>4216773</v>
      </c>
      <c r="E10" s="5">
        <v>9051</v>
      </c>
      <c r="F10" s="6">
        <v>9343215</v>
      </c>
    </row>
    <row r="11" spans="1:6" x14ac:dyDescent="0.2">
      <c r="A11" s="1">
        <v>2034</v>
      </c>
      <c r="B11" s="4">
        <v>2039881</v>
      </c>
      <c r="C11" s="4">
        <v>3503204</v>
      </c>
      <c r="D11" s="4">
        <v>4454420</v>
      </c>
      <c r="E11" s="5">
        <v>10089</v>
      </c>
      <c r="F11" s="6">
        <v>10007594</v>
      </c>
    </row>
    <row r="12" spans="1:6" x14ac:dyDescent="0.2">
      <c r="A12" s="1">
        <v>2035</v>
      </c>
      <c r="B12" s="4">
        <v>2154128</v>
      </c>
      <c r="C12" s="4">
        <v>3856664</v>
      </c>
      <c r="D12" s="4">
        <v>4705936</v>
      </c>
      <c r="E12" s="5">
        <v>11552</v>
      </c>
      <c r="F12" s="6">
        <v>10728280</v>
      </c>
    </row>
    <row r="13" spans="1:6" x14ac:dyDescent="0.2">
      <c r="A13" s="2" t="s">
        <v>7</v>
      </c>
      <c r="B13" s="6">
        <v>16893276</v>
      </c>
      <c r="C13" s="6">
        <v>25852035</v>
      </c>
      <c r="D13" s="6">
        <v>36488173</v>
      </c>
      <c r="E13" s="7">
        <v>74279</v>
      </c>
      <c r="F13" s="6">
        <v>79307763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A37B-8D2F-214F-901F-189CA8A49602}">
  <dimension ref="A1:F13"/>
  <sheetViews>
    <sheetView workbookViewId="0">
      <selection sqref="A1:F13"/>
    </sheetView>
  </sheetViews>
  <sheetFormatPr baseColWidth="10" defaultRowHeight="16" x14ac:dyDescent="0.2"/>
  <cols>
    <col min="1" max="1" width="9.5" customWidth="1"/>
    <col min="2" max="2" width="18.1640625" customWidth="1"/>
    <col min="3" max="3" width="15.1640625" customWidth="1"/>
    <col min="4" max="4" width="18.83203125" customWidth="1"/>
    <col min="5" max="5" width="11.83203125" customWidth="1"/>
    <col min="6" max="6" width="10.1640625" bestFit="1" customWidth="1"/>
  </cols>
  <sheetData>
    <row r="1" spans="1:6" x14ac:dyDescent="0.2">
      <c r="A1" s="11" t="s">
        <v>9</v>
      </c>
      <c r="B1" s="11"/>
      <c r="C1" s="11"/>
      <c r="D1" s="11"/>
      <c r="E1" s="11"/>
      <c r="F1" s="11"/>
    </row>
    <row r="2" spans="1:6" x14ac:dyDescent="0.2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</row>
    <row r="3" spans="1:6" x14ac:dyDescent="0.2">
      <c r="A3" s="1">
        <v>2026</v>
      </c>
      <c r="B3" s="4">
        <v>77205</v>
      </c>
      <c r="C3" s="4">
        <v>65135</v>
      </c>
      <c r="D3" s="4">
        <v>50000</v>
      </c>
      <c r="E3" s="8">
        <v>80</v>
      </c>
      <c r="F3" s="6">
        <f>SUM(B3:E3)</f>
        <v>192420</v>
      </c>
    </row>
    <row r="4" spans="1:6" x14ac:dyDescent="0.2">
      <c r="A4" s="1">
        <v>2027</v>
      </c>
      <c r="B4" s="4">
        <v>142992</v>
      </c>
      <c r="C4" s="4">
        <v>120635</v>
      </c>
      <c r="D4" s="4">
        <v>92604</v>
      </c>
      <c r="E4" s="8">
        <v>148</v>
      </c>
      <c r="F4" s="6">
        <f t="shared" ref="F4:F13" si="0">SUM(B4:E4)</f>
        <v>356379</v>
      </c>
    </row>
    <row r="5" spans="1:6" x14ac:dyDescent="0.2">
      <c r="A5" s="1">
        <v>2028</v>
      </c>
      <c r="B5" s="4">
        <v>225194</v>
      </c>
      <c r="C5" s="4">
        <v>189988</v>
      </c>
      <c r="D5" s="4">
        <v>145840</v>
      </c>
      <c r="E5" s="8">
        <v>234</v>
      </c>
      <c r="F5" s="6">
        <f t="shared" si="0"/>
        <v>561256</v>
      </c>
    </row>
    <row r="6" spans="1:6" x14ac:dyDescent="0.2">
      <c r="A6" s="1">
        <v>2029</v>
      </c>
      <c r="B6" s="4">
        <v>328226</v>
      </c>
      <c r="C6" s="4">
        <v>276912</v>
      </c>
      <c r="D6" s="4">
        <v>212566</v>
      </c>
      <c r="E6" s="8">
        <v>340</v>
      </c>
      <c r="F6" s="6">
        <f t="shared" si="0"/>
        <v>818044</v>
      </c>
    </row>
    <row r="7" spans="1:6" x14ac:dyDescent="0.2">
      <c r="A7" s="1">
        <v>2030</v>
      </c>
      <c r="B7" s="4">
        <v>435380</v>
      </c>
      <c r="C7" s="4">
        <v>367313</v>
      </c>
      <c r="D7" s="4">
        <v>281961</v>
      </c>
      <c r="E7" s="8">
        <v>452</v>
      </c>
      <c r="F7" s="6">
        <f t="shared" si="0"/>
        <v>1085106</v>
      </c>
    </row>
    <row r="8" spans="1:6" x14ac:dyDescent="0.2">
      <c r="A8" s="1">
        <v>2031</v>
      </c>
      <c r="B8" s="4">
        <v>514928</v>
      </c>
      <c r="C8" s="4">
        <v>434421</v>
      </c>
      <c r="D8" s="4">
        <v>333477</v>
      </c>
      <c r="E8" s="8">
        <v>535</v>
      </c>
      <c r="F8" s="6">
        <f t="shared" si="0"/>
        <v>1283361</v>
      </c>
    </row>
    <row r="9" spans="1:6" x14ac:dyDescent="0.2">
      <c r="A9" s="1">
        <v>2032</v>
      </c>
      <c r="B9" s="4">
        <v>597766</v>
      </c>
      <c r="C9" s="4">
        <v>504310</v>
      </c>
      <c r="D9" s="4">
        <v>387124</v>
      </c>
      <c r="E9" s="8">
        <v>620</v>
      </c>
      <c r="F9" s="6">
        <f t="shared" si="0"/>
        <v>1489820</v>
      </c>
    </row>
    <row r="10" spans="1:6" x14ac:dyDescent="0.2">
      <c r="A10" s="1">
        <v>2033</v>
      </c>
      <c r="B10" s="4">
        <v>681203</v>
      </c>
      <c r="C10" s="4">
        <v>574700</v>
      </c>
      <c r="D10" s="4">
        <v>441160</v>
      </c>
      <c r="E10" s="8">
        <v>708</v>
      </c>
      <c r="F10" s="6">
        <f t="shared" si="0"/>
        <v>1697771</v>
      </c>
    </row>
    <row r="11" spans="1:6" x14ac:dyDescent="0.2">
      <c r="A11" s="1">
        <v>2034</v>
      </c>
      <c r="B11" s="4">
        <v>773110</v>
      </c>
      <c r="C11" s="4">
        <v>652242</v>
      </c>
      <c r="D11" s="4">
        <v>500681</v>
      </c>
      <c r="E11" s="8">
        <v>802</v>
      </c>
      <c r="F11" s="6">
        <f t="shared" si="0"/>
        <v>1926835</v>
      </c>
    </row>
    <row r="12" spans="1:6" x14ac:dyDescent="0.2">
      <c r="A12" s="1">
        <v>2035</v>
      </c>
      <c r="B12" s="4">
        <v>877183</v>
      </c>
      <c r="C12" s="4">
        <v>740044</v>
      </c>
      <c r="D12" s="4">
        <v>568080</v>
      </c>
      <c r="E12" s="8">
        <v>910</v>
      </c>
      <c r="F12" s="6">
        <f>SUM(B12:E12)</f>
        <v>2186217</v>
      </c>
    </row>
    <row r="13" spans="1:6" x14ac:dyDescent="0.2">
      <c r="A13" s="2" t="s">
        <v>7</v>
      </c>
      <c r="B13" s="6">
        <f>SUM(B3:B12)</f>
        <v>4653187</v>
      </c>
      <c r="C13" s="6">
        <f t="shared" ref="C13:E13" si="1">SUM(C3:C12)</f>
        <v>3925700</v>
      </c>
      <c r="D13" s="6">
        <f t="shared" si="1"/>
        <v>3013493</v>
      </c>
      <c r="E13" s="6">
        <f t="shared" si="1"/>
        <v>4829</v>
      </c>
      <c r="F13" s="6">
        <f t="shared" si="0"/>
        <v>11597209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693E-6383-C44B-9CC3-6B03E12F72E8}">
  <dimension ref="A1:F13"/>
  <sheetViews>
    <sheetView workbookViewId="0">
      <selection activeCell="A13" sqref="A13"/>
    </sheetView>
  </sheetViews>
  <sheetFormatPr baseColWidth="10" defaultRowHeight="16" x14ac:dyDescent="0.2"/>
  <cols>
    <col min="2" max="2" width="18.5" customWidth="1"/>
    <col min="3" max="3" width="17.1640625" customWidth="1"/>
    <col min="4" max="4" width="16.83203125" customWidth="1"/>
    <col min="5" max="5" width="14.6640625" customWidth="1"/>
    <col min="6" max="6" width="15.33203125" customWidth="1"/>
  </cols>
  <sheetData>
    <row r="1" spans="1:6" x14ac:dyDescent="0.2">
      <c r="A1" t="s">
        <v>0</v>
      </c>
    </row>
    <row r="2" spans="1:6" x14ac:dyDescent="0.2">
      <c r="A2" s="10" t="s">
        <v>1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</row>
    <row r="3" spans="1:6" x14ac:dyDescent="0.2">
      <c r="A3" s="9">
        <v>2026</v>
      </c>
      <c r="B3" s="9">
        <v>1321316</v>
      </c>
      <c r="C3" s="9">
        <v>1598547</v>
      </c>
      <c r="D3" s="9">
        <v>2641261</v>
      </c>
      <c r="E3" s="9">
        <v>4569</v>
      </c>
      <c r="F3" s="9">
        <v>5565693</v>
      </c>
    </row>
    <row r="4" spans="1:6" x14ac:dyDescent="0.2">
      <c r="A4" s="9">
        <v>2027</v>
      </c>
      <c r="B4" s="9">
        <v>1476679</v>
      </c>
      <c r="C4" s="9">
        <v>1838045</v>
      </c>
      <c r="D4" s="9">
        <v>2902584</v>
      </c>
      <c r="E4" s="9">
        <v>5137</v>
      </c>
      <c r="F4" s="9">
        <v>6222445</v>
      </c>
    </row>
    <row r="5" spans="1:6" x14ac:dyDescent="0.2">
      <c r="A5" s="9">
        <v>2028</v>
      </c>
      <c r="B5" s="9">
        <v>1655764</v>
      </c>
      <c r="C5" s="9">
        <v>2113298</v>
      </c>
      <c r="D5" s="9">
        <v>3191354</v>
      </c>
      <c r="E5" s="9">
        <v>5789</v>
      </c>
      <c r="F5" s="9">
        <v>6966205</v>
      </c>
    </row>
    <row r="6" spans="1:6" x14ac:dyDescent="0.2">
      <c r="A6" s="9">
        <v>2029</v>
      </c>
      <c r="B6" s="9">
        <v>1863638</v>
      </c>
      <c r="C6" s="9">
        <v>2434673</v>
      </c>
      <c r="D6" s="9">
        <v>3515248</v>
      </c>
      <c r="E6" s="9">
        <v>6493</v>
      </c>
      <c r="F6" s="9">
        <v>7820052</v>
      </c>
    </row>
    <row r="7" spans="1:6" x14ac:dyDescent="0.2">
      <c r="A7" s="9">
        <v>2030</v>
      </c>
      <c r="B7" s="9">
        <v>2089812</v>
      </c>
      <c r="C7" s="9">
        <v>2786886</v>
      </c>
      <c r="D7" s="9">
        <v>3864489</v>
      </c>
      <c r="E7" s="9">
        <v>7269</v>
      </c>
      <c r="F7" s="9">
        <v>8748456</v>
      </c>
    </row>
    <row r="8" spans="1:6" x14ac:dyDescent="0.2">
      <c r="A8" s="9">
        <v>2031</v>
      </c>
      <c r="B8" s="9">
        <v>2254193</v>
      </c>
      <c r="C8" s="9">
        <v>3084932</v>
      </c>
      <c r="D8" s="9">
        <v>4117259</v>
      </c>
      <c r="E8" s="9">
        <v>7958</v>
      </c>
      <c r="F8" s="9">
        <v>9464342</v>
      </c>
    </row>
    <row r="9" spans="1:6" x14ac:dyDescent="0.2">
      <c r="A9" s="9">
        <v>2032</v>
      </c>
      <c r="B9" s="9">
        <v>2428580</v>
      </c>
      <c r="C9" s="9">
        <v>3408084</v>
      </c>
      <c r="D9" s="9">
        <v>4382421</v>
      </c>
      <c r="E9" s="9">
        <v>8783</v>
      </c>
      <c r="F9" s="9">
        <v>10227868</v>
      </c>
    </row>
    <row r="10" spans="1:6" x14ac:dyDescent="0.2">
      <c r="A10" s="9">
        <v>2033</v>
      </c>
      <c r="B10" s="9">
        <v>2612178</v>
      </c>
      <c r="C10" s="9">
        <v>3761116</v>
      </c>
      <c r="D10" s="9">
        <v>4657933</v>
      </c>
      <c r="E10" s="9">
        <v>9759</v>
      </c>
      <c r="F10" s="9">
        <v>11040986</v>
      </c>
    </row>
    <row r="11" spans="1:6" x14ac:dyDescent="0.2">
      <c r="A11" s="9">
        <v>2034</v>
      </c>
      <c r="B11" s="9">
        <v>2812991</v>
      </c>
      <c r="C11" s="9">
        <v>4155446</v>
      </c>
      <c r="D11" s="9">
        <v>4955101</v>
      </c>
      <c r="E11" s="9">
        <v>10891</v>
      </c>
      <c r="F11" s="9">
        <v>11934429</v>
      </c>
    </row>
    <row r="12" spans="1:6" x14ac:dyDescent="0.2">
      <c r="A12" s="9">
        <v>2035</v>
      </c>
      <c r="B12" s="9">
        <v>3031311</v>
      </c>
      <c r="C12" s="9">
        <v>4596708</v>
      </c>
      <c r="D12" s="9">
        <v>5274016</v>
      </c>
      <c r="E12" s="9">
        <v>12462</v>
      </c>
      <c r="F12" s="9">
        <v>12914497</v>
      </c>
    </row>
    <row r="13" spans="1:6" x14ac:dyDescent="0.2">
      <c r="A13" s="10" t="s">
        <v>7</v>
      </c>
      <c r="B13" s="9">
        <v>21546462</v>
      </c>
      <c r="C13" s="9">
        <v>29777735</v>
      </c>
      <c r="D13" s="9">
        <v>39501666</v>
      </c>
      <c r="E13" s="9">
        <v>79110</v>
      </c>
      <c r="F13" s="9">
        <v>90904973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B3F5-1FCF-604A-9D87-6CB19000DD8B}">
  <dimension ref="A1:D13"/>
  <sheetViews>
    <sheetView workbookViewId="0">
      <selection sqref="A1:D13"/>
    </sheetView>
  </sheetViews>
  <sheetFormatPr baseColWidth="10" defaultRowHeight="16" x14ac:dyDescent="0.2"/>
  <cols>
    <col min="1" max="1" width="8.5" bestFit="1" customWidth="1"/>
    <col min="2" max="2" width="19.33203125" customWidth="1"/>
    <col min="3" max="3" width="16.6640625" customWidth="1"/>
    <col min="4" max="4" width="15.1640625" customWidth="1"/>
  </cols>
  <sheetData>
    <row r="1" spans="1:4" x14ac:dyDescent="0.2">
      <c r="A1" s="11" t="s">
        <v>15</v>
      </c>
      <c r="B1" s="11"/>
      <c r="C1" s="11"/>
      <c r="D1" s="11"/>
    </row>
    <row r="2" spans="1:4" x14ac:dyDescent="0.2">
      <c r="A2" s="2" t="s">
        <v>1</v>
      </c>
      <c r="B2" s="2" t="s">
        <v>16</v>
      </c>
      <c r="C2" s="2" t="s">
        <v>17</v>
      </c>
      <c r="D2" s="2" t="s">
        <v>6</v>
      </c>
    </row>
    <row r="3" spans="1:4" x14ac:dyDescent="0.2">
      <c r="A3" s="1">
        <v>2026</v>
      </c>
      <c r="B3" s="4">
        <v>5373273</v>
      </c>
      <c r="C3" s="4">
        <v>192420</v>
      </c>
      <c r="D3" s="6">
        <f>SUM(B3:C3)</f>
        <v>5565693</v>
      </c>
    </row>
    <row r="4" spans="1:4" x14ac:dyDescent="0.2">
      <c r="A4" s="1">
        <v>2027</v>
      </c>
      <c r="B4" s="4">
        <v>5866067</v>
      </c>
      <c r="C4" s="4">
        <v>356380</v>
      </c>
      <c r="D4" s="6">
        <f t="shared" ref="D4:D12" si="0">SUM(B4:C4)</f>
        <v>6222447</v>
      </c>
    </row>
    <row r="5" spans="1:4" x14ac:dyDescent="0.2">
      <c r="A5" s="1">
        <v>2028</v>
      </c>
      <c r="B5" s="4">
        <v>6405559</v>
      </c>
      <c r="C5" s="4">
        <v>561256</v>
      </c>
      <c r="D5" s="6">
        <f t="shared" si="0"/>
        <v>6966815</v>
      </c>
    </row>
    <row r="6" spans="1:4" x14ac:dyDescent="0.2">
      <c r="A6" s="1">
        <v>2029</v>
      </c>
      <c r="B6" s="4">
        <v>7002008</v>
      </c>
      <c r="C6" s="4">
        <v>818044</v>
      </c>
      <c r="D6" s="6">
        <f t="shared" si="0"/>
        <v>7820052</v>
      </c>
    </row>
    <row r="7" spans="1:4" x14ac:dyDescent="0.2">
      <c r="A7" s="1">
        <v>2030</v>
      </c>
      <c r="B7" s="4">
        <v>7662625</v>
      </c>
      <c r="C7" s="4">
        <v>1085106</v>
      </c>
      <c r="D7" s="6">
        <f t="shared" si="0"/>
        <v>8747731</v>
      </c>
    </row>
    <row r="8" spans="1:4" x14ac:dyDescent="0.2">
      <c r="A8" s="1">
        <v>2031</v>
      </c>
      <c r="B8" s="4">
        <v>8180211</v>
      </c>
      <c r="C8" s="4">
        <v>1283360</v>
      </c>
      <c r="D8" s="6">
        <f t="shared" si="0"/>
        <v>9463571</v>
      </c>
    </row>
    <row r="9" spans="1:4" x14ac:dyDescent="0.2">
      <c r="A9" s="1">
        <v>2032</v>
      </c>
      <c r="B9" s="4">
        <v>8738048</v>
      </c>
      <c r="C9" s="4">
        <v>1489820</v>
      </c>
      <c r="D9" s="6">
        <f t="shared" si="0"/>
        <v>10227868</v>
      </c>
    </row>
    <row r="10" spans="1:4" x14ac:dyDescent="0.2">
      <c r="A10" s="1">
        <v>2033</v>
      </c>
      <c r="B10" s="4">
        <v>9343215</v>
      </c>
      <c r="C10" s="4">
        <v>1697771</v>
      </c>
      <c r="D10" s="6">
        <f t="shared" si="0"/>
        <v>11040986</v>
      </c>
    </row>
    <row r="11" spans="1:4" x14ac:dyDescent="0.2">
      <c r="A11" s="1">
        <v>2034</v>
      </c>
      <c r="B11" s="4">
        <v>10007594</v>
      </c>
      <c r="C11" s="4">
        <v>1926835</v>
      </c>
      <c r="D11" s="6">
        <f t="shared" si="0"/>
        <v>11934429</v>
      </c>
    </row>
    <row r="12" spans="1:4" x14ac:dyDescent="0.2">
      <c r="A12" s="1">
        <v>2035</v>
      </c>
      <c r="B12" s="4">
        <v>10736940</v>
      </c>
      <c r="C12" s="4">
        <v>2186217</v>
      </c>
      <c r="D12" s="6">
        <f t="shared" si="0"/>
        <v>12923157</v>
      </c>
    </row>
    <row r="13" spans="1:4" x14ac:dyDescent="0.2">
      <c r="A13" s="2" t="s">
        <v>7</v>
      </c>
      <c r="B13" s="6">
        <f>SUM(B3:B12)</f>
        <v>79315540</v>
      </c>
      <c r="C13" s="6">
        <f t="shared" ref="C13:D13" si="1">SUM(C3:C12)</f>
        <v>11597209</v>
      </c>
      <c r="D13" s="6">
        <f t="shared" si="1"/>
        <v>90912749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C7D0-2E5A-DF47-B4A8-756150236D7A}">
  <dimension ref="A1:B12"/>
  <sheetViews>
    <sheetView workbookViewId="0">
      <selection activeCell="B1" sqref="B1:B12"/>
    </sheetView>
  </sheetViews>
  <sheetFormatPr baseColWidth="10" defaultRowHeight="16" x14ac:dyDescent="0.2"/>
  <cols>
    <col min="1" max="1" width="11.6640625" customWidth="1"/>
    <col min="2" max="2" width="19.1640625" customWidth="1"/>
  </cols>
  <sheetData>
    <row r="1" spans="1:2" x14ac:dyDescent="0.2">
      <c r="A1" s="2"/>
      <c r="B1" s="2" t="s">
        <v>19</v>
      </c>
    </row>
    <row r="2" spans="1:2" x14ac:dyDescent="0.2">
      <c r="A2" s="1">
        <v>2026</v>
      </c>
      <c r="B2" s="4">
        <v>233273</v>
      </c>
    </row>
    <row r="3" spans="1:2" x14ac:dyDescent="0.2">
      <c r="A3" s="1">
        <v>2027</v>
      </c>
      <c r="B3" s="4">
        <v>266067</v>
      </c>
    </row>
    <row r="4" spans="1:2" x14ac:dyDescent="0.2">
      <c r="A4" s="1">
        <v>2028</v>
      </c>
      <c r="B4" s="4">
        <v>305559</v>
      </c>
    </row>
    <row r="5" spans="1:2" x14ac:dyDescent="0.2">
      <c r="A5" s="1">
        <v>2029</v>
      </c>
      <c r="B5" s="4">
        <v>352008</v>
      </c>
    </row>
    <row r="6" spans="1:2" x14ac:dyDescent="0.2">
      <c r="A6" s="1">
        <v>2030</v>
      </c>
      <c r="B6" s="4">
        <v>412625</v>
      </c>
    </row>
    <row r="7" spans="1:2" x14ac:dyDescent="0.2">
      <c r="A7" s="1">
        <v>2031</v>
      </c>
      <c r="B7" s="4">
        <v>490211</v>
      </c>
    </row>
    <row r="8" spans="1:2" x14ac:dyDescent="0.2">
      <c r="A8" s="1">
        <v>2032</v>
      </c>
      <c r="B8" s="4">
        <v>588048</v>
      </c>
    </row>
    <row r="9" spans="1:2" x14ac:dyDescent="0.2">
      <c r="A9" s="1">
        <v>2033</v>
      </c>
      <c r="B9" s="4">
        <v>703215</v>
      </c>
    </row>
    <row r="10" spans="1:2" x14ac:dyDescent="0.2">
      <c r="A10" s="1">
        <v>2034</v>
      </c>
      <c r="B10" s="4">
        <v>847594</v>
      </c>
    </row>
    <row r="11" spans="1:2" x14ac:dyDescent="0.2">
      <c r="A11" s="1">
        <v>2035</v>
      </c>
      <c r="B11" s="4">
        <v>1026940</v>
      </c>
    </row>
    <row r="12" spans="1:2" x14ac:dyDescent="0.2">
      <c r="A12" s="2" t="s">
        <v>7</v>
      </c>
      <c r="B12" s="6">
        <f t="shared" ref="B12" si="0">SUM(B2:B11)</f>
        <v>5225540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3718-8DF1-FC41-8016-18F423E40A9F}">
  <dimension ref="A1:B12"/>
  <sheetViews>
    <sheetView workbookViewId="0">
      <selection sqref="A1:B12"/>
    </sheetView>
  </sheetViews>
  <sheetFormatPr baseColWidth="10" defaultRowHeight="16" x14ac:dyDescent="0.2"/>
  <cols>
    <col min="2" max="2" width="20" customWidth="1"/>
  </cols>
  <sheetData>
    <row r="1" spans="1:2" x14ac:dyDescent="0.2">
      <c r="A1" s="2"/>
      <c r="B1" s="2" t="s">
        <v>18</v>
      </c>
    </row>
    <row r="2" spans="1:2" x14ac:dyDescent="0.2">
      <c r="A2" s="1">
        <v>2026</v>
      </c>
      <c r="B2" s="4">
        <v>5140000</v>
      </c>
    </row>
    <row r="3" spans="1:2" x14ac:dyDescent="0.2">
      <c r="A3" s="1">
        <v>2027</v>
      </c>
      <c r="B3" s="4">
        <v>5600000</v>
      </c>
    </row>
    <row r="4" spans="1:2" x14ac:dyDescent="0.2">
      <c r="A4" s="1">
        <v>2028</v>
      </c>
      <c r="B4" s="4">
        <v>6100000</v>
      </c>
    </row>
    <row r="5" spans="1:2" x14ac:dyDescent="0.2">
      <c r="A5" s="1">
        <v>2029</v>
      </c>
      <c r="B5" s="4">
        <v>6650000</v>
      </c>
    </row>
    <row r="6" spans="1:2" x14ac:dyDescent="0.2">
      <c r="A6" s="1">
        <v>2030</v>
      </c>
      <c r="B6" s="4">
        <v>7250000</v>
      </c>
    </row>
    <row r="7" spans="1:2" x14ac:dyDescent="0.2">
      <c r="A7" s="1">
        <v>2031</v>
      </c>
      <c r="B7" s="4">
        <v>7690000</v>
      </c>
    </row>
    <row r="8" spans="1:2" x14ac:dyDescent="0.2">
      <c r="A8" s="1">
        <v>2032</v>
      </c>
      <c r="B8" s="4">
        <v>8150000</v>
      </c>
    </row>
    <row r="9" spans="1:2" x14ac:dyDescent="0.2">
      <c r="A9" s="1">
        <v>2033</v>
      </c>
      <c r="B9" s="4">
        <v>8640000</v>
      </c>
    </row>
    <row r="10" spans="1:2" x14ac:dyDescent="0.2">
      <c r="A10" s="1">
        <v>2034</v>
      </c>
      <c r="B10" s="4">
        <v>9160000</v>
      </c>
    </row>
    <row r="11" spans="1:2" x14ac:dyDescent="0.2">
      <c r="A11" s="1">
        <v>2035</v>
      </c>
      <c r="B11" s="4">
        <v>9710000</v>
      </c>
    </row>
    <row r="12" spans="1:2" x14ac:dyDescent="0.2">
      <c r="A12" s="2" t="s">
        <v>7</v>
      </c>
      <c r="B12" s="6">
        <f>SUM(B2:B11)</f>
        <v>74090000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121E-C70E-534A-ACF1-CF89828C4158}">
  <dimension ref="A1:B12"/>
  <sheetViews>
    <sheetView tabSelected="1" workbookViewId="0">
      <selection activeCell="B1" sqref="B1:B12"/>
    </sheetView>
  </sheetViews>
  <sheetFormatPr baseColWidth="10" defaultRowHeight="16" x14ac:dyDescent="0.2"/>
  <cols>
    <col min="2" max="2" width="20" customWidth="1"/>
  </cols>
  <sheetData>
    <row r="1" spans="1:2" x14ac:dyDescent="0.2">
      <c r="A1" s="2"/>
      <c r="B1" s="2" t="s">
        <v>20</v>
      </c>
    </row>
    <row r="2" spans="1:2" x14ac:dyDescent="0.2">
      <c r="A2" s="1">
        <v>2026</v>
      </c>
      <c r="B2" s="4">
        <v>192420</v>
      </c>
    </row>
    <row r="3" spans="1:2" x14ac:dyDescent="0.2">
      <c r="A3" s="1">
        <v>2027</v>
      </c>
      <c r="B3" s="4">
        <v>356380</v>
      </c>
    </row>
    <row r="4" spans="1:2" x14ac:dyDescent="0.2">
      <c r="A4" s="1">
        <v>2028</v>
      </c>
      <c r="B4" s="4">
        <v>561256</v>
      </c>
    </row>
    <row r="5" spans="1:2" x14ac:dyDescent="0.2">
      <c r="A5" s="1">
        <v>2029</v>
      </c>
      <c r="B5" s="4">
        <v>818044</v>
      </c>
    </row>
    <row r="6" spans="1:2" x14ac:dyDescent="0.2">
      <c r="A6" s="1">
        <v>2030</v>
      </c>
      <c r="B6" s="4">
        <v>1085106</v>
      </c>
    </row>
    <row r="7" spans="1:2" x14ac:dyDescent="0.2">
      <c r="A7" s="1">
        <v>2031</v>
      </c>
      <c r="B7" s="4">
        <v>1283360</v>
      </c>
    </row>
    <row r="8" spans="1:2" x14ac:dyDescent="0.2">
      <c r="A8" s="1">
        <v>2032</v>
      </c>
      <c r="B8" s="4">
        <v>1489820</v>
      </c>
    </row>
    <row r="9" spans="1:2" x14ac:dyDescent="0.2">
      <c r="A9" s="1">
        <v>2033</v>
      </c>
      <c r="B9" s="4">
        <v>1697771</v>
      </c>
    </row>
    <row r="10" spans="1:2" x14ac:dyDescent="0.2">
      <c r="A10" s="1">
        <v>2034</v>
      </c>
      <c r="B10" s="4">
        <v>1926835</v>
      </c>
    </row>
    <row r="11" spans="1:2" x14ac:dyDescent="0.2">
      <c r="A11" s="1">
        <v>2035</v>
      </c>
      <c r="B11" s="4">
        <v>2186217</v>
      </c>
    </row>
    <row r="12" spans="1:2" x14ac:dyDescent="0.2">
      <c r="A12" s="2" t="s">
        <v>7</v>
      </c>
      <c r="B12" s="6">
        <f t="shared" ref="B12" si="0">SUM(B2:B11)</f>
        <v>11597209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PDLC_Regional</vt:lpstr>
      <vt:lpstr>SPD_Regional</vt:lpstr>
      <vt:lpstr>Total_Regional</vt:lpstr>
      <vt:lpstr>Technology_Total</vt:lpstr>
      <vt:lpstr>PDLC_Dis_Cephe_Yillik</vt:lpstr>
      <vt:lpstr>PDLC_Ic_Cephe_Yillik</vt:lpstr>
      <vt:lpstr>SPD_Dis_Cephe_Yillik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Canhan sen (Alumni)</dc:creator>
  <cp:lastModifiedBy>Canhan sen (Alumni)</cp:lastModifiedBy>
  <dcterms:created xsi:type="dcterms:W3CDTF">2025-12-04T18:39:50Z</dcterms:created>
  <dcterms:modified xsi:type="dcterms:W3CDTF">2025-12-04T19:14:39Z</dcterms:modified>
</cp:coreProperties>
</file>
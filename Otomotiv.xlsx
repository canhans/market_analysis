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hansen/Desktop/Pazar_Analizi/WebApp/"/>
    </mc:Choice>
  </mc:AlternateContent>
  <xr:revisionPtr revIDLastSave="0" documentId="13_ncr:1_{53A713C3-634E-484E-A204-F77B49C7B606}" xr6:coauthVersionLast="47" xr6:coauthVersionMax="47" xr10:uidLastSave="{00000000-0000-0000-0000-000000000000}"/>
  <bookViews>
    <workbookView xWindow="20" yWindow="500" windowWidth="28800" windowHeight="17500" activeTab="2" xr2:uid="{FE409EA9-CDDF-42DB-AA15-054BED4317D9}"/>
  </bookViews>
  <sheets>
    <sheet name="TAM" sheetId="2" r:id="rId1"/>
    <sheet name="SAM" sheetId="3" r:id="rId2"/>
    <sheet name="SOM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4" l="1"/>
  <c r="B15" i="4"/>
  <c r="D14" i="4"/>
  <c r="D13" i="4"/>
  <c r="D12" i="4"/>
  <c r="D11" i="4"/>
  <c r="D10" i="4"/>
  <c r="D9" i="4"/>
  <c r="D8" i="4"/>
  <c r="D7" i="4"/>
  <c r="D6" i="4"/>
  <c r="D5" i="4"/>
  <c r="D4" i="4"/>
  <c r="D3" i="4"/>
  <c r="D15" i="3"/>
  <c r="C15" i="3"/>
  <c r="B15" i="3"/>
  <c r="C15" i="2"/>
  <c r="B15" i="2"/>
  <c r="D15" i="4" l="1"/>
</calcChain>
</file>

<file path=xl/sharedStrings.xml><?xml version="1.0" encoding="utf-8"?>
<sst xmlns="http://schemas.openxmlformats.org/spreadsheetml/2006/main" count="14" uniqueCount="12">
  <si>
    <t>Toplam</t>
  </si>
  <si>
    <t>Araç Adet</t>
  </si>
  <si>
    <t>PDLC (m2)</t>
  </si>
  <si>
    <t>SPD (m2)</t>
  </si>
  <si>
    <t>Toplam Akıllı Cam (m2)</t>
  </si>
  <si>
    <t>Toplam SOM (m2)</t>
  </si>
  <si>
    <t>SPD SOM (m2)</t>
  </si>
  <si>
    <t>PDLC SOM (m2)</t>
  </si>
  <si>
    <t>SOM</t>
  </si>
  <si>
    <t>SAM</t>
  </si>
  <si>
    <t>TAM</t>
  </si>
  <si>
    <t>Cam (m2)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</si>
</sst>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9"/>
      <color rgb="FF000000"/>
      <name val="Aptos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/>
    </xf>
    <xf numFmtId="3" fontId="0" fillId="4" borderId="1" xfId="0" applyNumberFormat="1" applyFill="1" applyBorder="1" applyAlignment="1">
      <alignment horizontal="center" vertic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3" fontId="2" fillId="2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9598B-3915-4BBE-88AA-64D052DA90EB}">
  <dimension ref="A1:D31"/>
  <sheetViews>
    <sheetView workbookViewId="0">
      <selection sqref="A1:A15"/>
    </sheetView>
  </sheetViews>
  <sheetFormatPr baseColWidth="10" defaultColWidth="8.83203125" defaultRowHeight="15" x14ac:dyDescent="0.2"/>
  <cols>
    <col min="1" max="1" width="9.83203125" customWidth="1"/>
    <col min="2" max="2" width="17.5" customWidth="1"/>
    <col min="3" max="3" width="16.1640625" customWidth="1"/>
    <col min="4" max="4" width="19.33203125" customWidth="1"/>
    <col min="5" max="5" width="19.83203125" customWidth="1"/>
    <col min="6" max="6" width="26.83203125" customWidth="1"/>
    <col min="7" max="7" width="16.33203125" customWidth="1"/>
    <col min="8" max="8" width="16.5" customWidth="1"/>
    <col min="9" max="9" width="17.33203125" customWidth="1"/>
    <col min="10" max="10" width="16.6640625" customWidth="1"/>
    <col min="11" max="11" width="15.33203125" customWidth="1"/>
    <col min="13" max="13" width="12.33203125" customWidth="1"/>
    <col min="14" max="14" width="11.83203125" customWidth="1"/>
    <col min="15" max="15" width="13.1640625" customWidth="1"/>
    <col min="16" max="16" width="13" customWidth="1"/>
    <col min="17" max="17" width="12.5" customWidth="1"/>
    <col min="18" max="18" width="11" customWidth="1"/>
    <col min="19" max="19" width="12.83203125" customWidth="1"/>
    <col min="20" max="20" width="12.5" customWidth="1"/>
    <col min="24" max="24" width="8.83203125" customWidth="1"/>
  </cols>
  <sheetData>
    <row r="1" spans="1:4" x14ac:dyDescent="0.2">
      <c r="A1" s="9"/>
      <c r="B1" s="17" t="s">
        <v>10</v>
      </c>
      <c r="C1" s="17"/>
    </row>
    <row r="2" spans="1:4" x14ac:dyDescent="0.2">
      <c r="A2" s="9"/>
      <c r="B2" s="10" t="s">
        <v>1</v>
      </c>
      <c r="C2" s="10" t="s">
        <v>11</v>
      </c>
    </row>
    <row r="3" spans="1:4" x14ac:dyDescent="0.2">
      <c r="A3" s="2">
        <v>2024</v>
      </c>
      <c r="B3" s="3">
        <v>7800000</v>
      </c>
      <c r="C3" s="3">
        <v>9360000</v>
      </c>
    </row>
    <row r="4" spans="1:4" x14ac:dyDescent="0.2">
      <c r="A4" s="2">
        <v>2025</v>
      </c>
      <c r="B4" s="3">
        <v>8314800</v>
      </c>
      <c r="C4" s="3">
        <v>9977760</v>
      </c>
    </row>
    <row r="5" spans="1:4" x14ac:dyDescent="0.2">
      <c r="A5" s="2">
        <v>2026</v>
      </c>
      <c r="B5" s="3">
        <v>8863577</v>
      </c>
      <c r="C5" s="3">
        <v>10636292</v>
      </c>
    </row>
    <row r="6" spans="1:4" x14ac:dyDescent="0.2">
      <c r="A6" s="2">
        <v>2027</v>
      </c>
      <c r="B6" s="3">
        <v>9448573</v>
      </c>
      <c r="C6" s="3">
        <v>11338287</v>
      </c>
    </row>
    <row r="7" spans="1:4" x14ac:dyDescent="0.2">
      <c r="A7" s="2">
        <v>2028</v>
      </c>
      <c r="B7" s="3">
        <v>10072179</v>
      </c>
      <c r="C7" s="3">
        <v>12086614</v>
      </c>
    </row>
    <row r="8" spans="1:4" x14ac:dyDescent="0.2">
      <c r="A8" s="2">
        <v>2029</v>
      </c>
      <c r="B8" s="3">
        <v>10736942</v>
      </c>
      <c r="C8" s="3">
        <v>12884331</v>
      </c>
    </row>
    <row r="9" spans="1:4" x14ac:dyDescent="0.2">
      <c r="A9" s="2">
        <v>2030</v>
      </c>
      <c r="B9" s="3">
        <v>11445581</v>
      </c>
      <c r="C9" s="3">
        <v>13734697</v>
      </c>
    </row>
    <row r="10" spans="1:4" x14ac:dyDescent="0.2">
      <c r="A10" s="2">
        <v>2031</v>
      </c>
      <c r="B10" s="3">
        <v>12200989</v>
      </c>
      <c r="C10" s="3">
        <v>14641187</v>
      </c>
    </row>
    <row r="11" spans="1:4" x14ac:dyDescent="0.2">
      <c r="A11" s="2">
        <v>2032</v>
      </c>
      <c r="B11" s="3">
        <v>13006254</v>
      </c>
      <c r="C11" s="3">
        <v>15607505</v>
      </c>
    </row>
    <row r="12" spans="1:4" x14ac:dyDescent="0.2">
      <c r="A12" s="2">
        <v>2033</v>
      </c>
      <c r="B12" s="3">
        <v>13864667</v>
      </c>
      <c r="C12" s="3">
        <v>16637600</v>
      </c>
    </row>
    <row r="13" spans="1:4" x14ac:dyDescent="0.2">
      <c r="A13" s="2">
        <v>2034</v>
      </c>
      <c r="B13" s="3">
        <v>14779735</v>
      </c>
      <c r="C13" s="3">
        <v>17735682</v>
      </c>
    </row>
    <row r="14" spans="1:4" x14ac:dyDescent="0.2">
      <c r="A14" s="2">
        <v>2035</v>
      </c>
      <c r="B14" s="3">
        <v>15755198</v>
      </c>
      <c r="C14" s="3">
        <v>18906237</v>
      </c>
    </row>
    <row r="15" spans="1:4" x14ac:dyDescent="0.2">
      <c r="A15" s="13" t="s">
        <v>0</v>
      </c>
      <c r="B15" s="14">
        <f>SUM(B3:B14)</f>
        <v>136288495</v>
      </c>
      <c r="C15" s="14">
        <f t="shared" ref="C15" si="0">SUM(C3:C14)</f>
        <v>163546192</v>
      </c>
    </row>
    <row r="16" spans="1:4" x14ac:dyDescent="0.2">
      <c r="D16" s="1"/>
    </row>
    <row r="17" spans="4:4" x14ac:dyDescent="0.2">
      <c r="D17" s="1"/>
    </row>
    <row r="18" spans="4:4" x14ac:dyDescent="0.2">
      <c r="D18" s="1"/>
    </row>
    <row r="19" spans="4:4" x14ac:dyDescent="0.2">
      <c r="D19" s="1"/>
    </row>
    <row r="20" spans="4:4" x14ac:dyDescent="0.2">
      <c r="D20" s="1"/>
    </row>
    <row r="21" spans="4:4" x14ac:dyDescent="0.2">
      <c r="D21" s="1"/>
    </row>
    <row r="22" spans="4:4" x14ac:dyDescent="0.2">
      <c r="D22" s="1"/>
    </row>
    <row r="23" spans="4:4" x14ac:dyDescent="0.2">
      <c r="D23" s="1"/>
    </row>
    <row r="24" spans="4:4" x14ac:dyDescent="0.2">
      <c r="D24" s="1"/>
    </row>
    <row r="25" spans="4:4" x14ac:dyDescent="0.2">
      <c r="D25" s="1"/>
    </row>
    <row r="26" spans="4:4" x14ac:dyDescent="0.2">
      <c r="D26" s="1"/>
    </row>
    <row r="27" spans="4:4" x14ac:dyDescent="0.2">
      <c r="D27" s="1"/>
    </row>
    <row r="28" spans="4:4" x14ac:dyDescent="0.2">
      <c r="D28" s="1"/>
    </row>
    <row r="29" spans="4:4" x14ac:dyDescent="0.2">
      <c r="D29" s="1"/>
    </row>
    <row r="30" spans="4:4" x14ac:dyDescent="0.2">
      <c r="D30" s="1"/>
    </row>
    <row r="31" spans="4:4" x14ac:dyDescent="0.2">
      <c r="D31" s="1"/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FC9F-6CF7-684F-B80D-BD1429DF8318}">
  <dimension ref="A1:D15"/>
  <sheetViews>
    <sheetView workbookViewId="0">
      <selection sqref="A1:A15"/>
    </sheetView>
  </sheetViews>
  <sheetFormatPr baseColWidth="10" defaultRowHeight="15" x14ac:dyDescent="0.2"/>
  <cols>
    <col min="2" max="2" width="19.33203125" customWidth="1"/>
    <col min="3" max="3" width="19.83203125" customWidth="1"/>
    <col min="4" max="4" width="26.83203125" customWidth="1"/>
  </cols>
  <sheetData>
    <row r="1" spans="1:4" x14ac:dyDescent="0.2">
      <c r="A1" s="9"/>
      <c r="B1" s="18" t="s">
        <v>9</v>
      </c>
      <c r="C1" s="18"/>
      <c r="D1" s="18"/>
    </row>
    <row r="2" spans="1:4" x14ac:dyDescent="0.2">
      <c r="A2" s="9"/>
      <c r="B2" s="11" t="s">
        <v>2</v>
      </c>
      <c r="C2" s="11" t="s">
        <v>3</v>
      </c>
      <c r="D2" s="11" t="s">
        <v>4</v>
      </c>
    </row>
    <row r="3" spans="1:4" x14ac:dyDescent="0.2">
      <c r="A3" s="2">
        <v>2024</v>
      </c>
      <c r="B3" s="5">
        <v>268300</v>
      </c>
      <c r="C3" s="4">
        <v>0</v>
      </c>
      <c r="D3" s="5">
        <v>268300</v>
      </c>
    </row>
    <row r="4" spans="1:4" x14ac:dyDescent="0.2">
      <c r="A4" s="2">
        <v>2025</v>
      </c>
      <c r="B4" s="5">
        <v>300496</v>
      </c>
      <c r="C4" s="4">
        <v>0</v>
      </c>
      <c r="D4" s="5">
        <v>300496</v>
      </c>
    </row>
    <row r="5" spans="1:4" x14ac:dyDescent="0.2">
      <c r="A5" s="2">
        <v>2026</v>
      </c>
      <c r="B5" s="5">
        <v>336556</v>
      </c>
      <c r="C5" s="4">
        <v>0</v>
      </c>
      <c r="D5" s="5">
        <v>336556</v>
      </c>
    </row>
    <row r="6" spans="1:4" x14ac:dyDescent="0.2">
      <c r="A6" s="2">
        <v>2027</v>
      </c>
      <c r="B6" s="5">
        <v>376942</v>
      </c>
      <c r="C6" s="4">
        <v>0</v>
      </c>
      <c r="D6" s="5">
        <v>376942</v>
      </c>
    </row>
    <row r="7" spans="1:4" x14ac:dyDescent="0.2">
      <c r="A7" s="2">
        <v>2028</v>
      </c>
      <c r="B7" s="5">
        <v>422175</v>
      </c>
      <c r="C7" s="4">
        <v>11309</v>
      </c>
      <c r="D7" s="5">
        <v>433484</v>
      </c>
    </row>
    <row r="8" spans="1:4" x14ac:dyDescent="0.2">
      <c r="A8" s="2">
        <v>2029</v>
      </c>
      <c r="B8" s="5">
        <v>472836</v>
      </c>
      <c r="C8" s="4">
        <v>25670</v>
      </c>
      <c r="D8" s="5">
        <v>498506</v>
      </c>
    </row>
    <row r="9" spans="1:4" x14ac:dyDescent="0.2">
      <c r="A9" s="2">
        <v>2030</v>
      </c>
      <c r="B9" s="5">
        <v>529577</v>
      </c>
      <c r="C9" s="4">
        <v>43705</v>
      </c>
      <c r="D9" s="5">
        <v>573282</v>
      </c>
    </row>
    <row r="10" spans="1:4" x14ac:dyDescent="0.2">
      <c r="A10" s="2">
        <v>2031</v>
      </c>
      <c r="B10" s="5">
        <v>593126</v>
      </c>
      <c r="C10" s="4">
        <v>66148</v>
      </c>
      <c r="D10" s="5">
        <v>659274</v>
      </c>
    </row>
    <row r="11" spans="1:4" x14ac:dyDescent="0.2">
      <c r="A11" s="2">
        <v>2032</v>
      </c>
      <c r="B11" s="5">
        <v>664301</v>
      </c>
      <c r="C11" s="4">
        <v>113643</v>
      </c>
      <c r="D11" s="5">
        <v>777944</v>
      </c>
    </row>
    <row r="12" spans="1:4" x14ac:dyDescent="0.2">
      <c r="A12" s="2">
        <v>2033</v>
      </c>
      <c r="B12" s="5">
        <v>744017</v>
      </c>
      <c r="C12" s="4">
        <v>173956</v>
      </c>
      <c r="D12" s="5">
        <v>917973</v>
      </c>
    </row>
    <row r="13" spans="1:4" x14ac:dyDescent="0.2">
      <c r="A13" s="2">
        <v>2034</v>
      </c>
      <c r="B13" s="5">
        <v>833299</v>
      </c>
      <c r="C13" s="4">
        <v>249910</v>
      </c>
      <c r="D13" s="5">
        <v>1083209</v>
      </c>
    </row>
    <row r="14" spans="1:4" x14ac:dyDescent="0.2">
      <c r="A14" s="2">
        <v>2035</v>
      </c>
      <c r="B14" s="5">
        <v>933295</v>
      </c>
      <c r="C14" s="4">
        <v>344891</v>
      </c>
      <c r="D14" s="5">
        <v>1278186</v>
      </c>
    </row>
    <row r="15" spans="1:4" x14ac:dyDescent="0.2">
      <c r="A15" s="13" t="s">
        <v>0</v>
      </c>
      <c r="B15" s="15">
        <f t="shared" ref="B15:D15" si="0">SUM(B3:B14)</f>
        <v>6474920</v>
      </c>
      <c r="C15" s="15">
        <f t="shared" si="0"/>
        <v>1029232</v>
      </c>
      <c r="D15" s="15">
        <f t="shared" si="0"/>
        <v>7504152</v>
      </c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46CF-7FB4-6744-BA73-DBD500A6F853}">
  <dimension ref="A1:D15"/>
  <sheetViews>
    <sheetView tabSelected="1" workbookViewId="0">
      <selection sqref="A1:A15"/>
    </sheetView>
  </sheetViews>
  <sheetFormatPr baseColWidth="10" defaultRowHeight="15" x14ac:dyDescent="0.2"/>
  <cols>
    <col min="2" max="2" width="16.33203125" customWidth="1"/>
    <col min="3" max="3" width="16.5" customWidth="1"/>
    <col min="4" max="4" width="17.33203125" customWidth="1"/>
  </cols>
  <sheetData>
    <row r="1" spans="1:4" x14ac:dyDescent="0.2">
      <c r="A1" s="9"/>
      <c r="B1" s="19" t="s">
        <v>8</v>
      </c>
      <c r="C1" s="19"/>
      <c r="D1" s="19"/>
    </row>
    <row r="2" spans="1:4" x14ac:dyDescent="0.2">
      <c r="A2" s="9"/>
      <c r="B2" s="12" t="s">
        <v>7</v>
      </c>
      <c r="C2" s="12" t="s">
        <v>6</v>
      </c>
      <c r="D2" s="12" t="s">
        <v>5</v>
      </c>
    </row>
    <row r="3" spans="1:4" x14ac:dyDescent="0.2">
      <c r="A3" s="2">
        <v>2024</v>
      </c>
      <c r="B3" s="7">
        <v>0</v>
      </c>
      <c r="C3" s="8">
        <v>0</v>
      </c>
      <c r="D3" s="8">
        <f>SUM(B3:C3)</f>
        <v>0</v>
      </c>
    </row>
    <row r="4" spans="1:4" x14ac:dyDescent="0.2">
      <c r="A4" s="2">
        <v>2025</v>
      </c>
      <c r="B4" s="7">
        <v>0</v>
      </c>
      <c r="C4" s="8">
        <v>0</v>
      </c>
      <c r="D4" s="8">
        <f t="shared" ref="D4:D14" si="0">SUM(B4:C4)</f>
        <v>0</v>
      </c>
    </row>
    <row r="5" spans="1:4" x14ac:dyDescent="0.2">
      <c r="A5" s="2">
        <v>2026</v>
      </c>
      <c r="B5" s="7">
        <v>48801</v>
      </c>
      <c r="C5" s="6">
        <v>0</v>
      </c>
      <c r="D5" s="8">
        <f t="shared" si="0"/>
        <v>48801</v>
      </c>
    </row>
    <row r="6" spans="1:4" x14ac:dyDescent="0.2">
      <c r="A6" s="2">
        <v>2027</v>
      </c>
      <c r="B6" s="7">
        <v>54657</v>
      </c>
      <c r="C6" s="6">
        <v>0</v>
      </c>
      <c r="D6" s="8">
        <f t="shared" si="0"/>
        <v>54657</v>
      </c>
    </row>
    <row r="7" spans="1:4" x14ac:dyDescent="0.2">
      <c r="A7" s="2">
        <v>2028</v>
      </c>
      <c r="B7" s="7">
        <v>61215</v>
      </c>
      <c r="C7" s="8">
        <v>4750</v>
      </c>
      <c r="D7" s="8">
        <f t="shared" si="0"/>
        <v>65965</v>
      </c>
    </row>
    <row r="8" spans="1:4" x14ac:dyDescent="0.2">
      <c r="A8" s="2">
        <v>2029</v>
      </c>
      <c r="B8" s="7">
        <v>68561</v>
      </c>
      <c r="C8" s="8">
        <v>10781</v>
      </c>
      <c r="D8" s="8">
        <f t="shared" si="0"/>
        <v>79342</v>
      </c>
    </row>
    <row r="9" spans="1:4" x14ac:dyDescent="0.2">
      <c r="A9" s="2">
        <v>2030</v>
      </c>
      <c r="B9" s="7">
        <v>76789</v>
      </c>
      <c r="C9" s="8">
        <v>18356</v>
      </c>
      <c r="D9" s="8">
        <f t="shared" si="0"/>
        <v>95145</v>
      </c>
    </row>
    <row r="10" spans="1:4" x14ac:dyDescent="0.2">
      <c r="A10" s="2">
        <v>2031</v>
      </c>
      <c r="B10" s="7">
        <v>86003</v>
      </c>
      <c r="C10" s="8">
        <v>27782</v>
      </c>
      <c r="D10" s="8">
        <f t="shared" si="0"/>
        <v>113785</v>
      </c>
    </row>
    <row r="11" spans="1:4" x14ac:dyDescent="0.2">
      <c r="A11" s="2">
        <v>2032</v>
      </c>
      <c r="B11" s="7">
        <v>96324</v>
      </c>
      <c r="C11" s="8">
        <v>47730</v>
      </c>
      <c r="D11" s="8">
        <f t="shared" si="0"/>
        <v>144054</v>
      </c>
    </row>
    <row r="12" spans="1:4" x14ac:dyDescent="0.2">
      <c r="A12" s="2">
        <v>2033</v>
      </c>
      <c r="B12" s="7">
        <v>107882</v>
      </c>
      <c r="C12" s="8">
        <v>73062</v>
      </c>
      <c r="D12" s="8">
        <f t="shared" si="0"/>
        <v>180944</v>
      </c>
    </row>
    <row r="13" spans="1:4" x14ac:dyDescent="0.2">
      <c r="A13" s="2">
        <v>2034</v>
      </c>
      <c r="B13" s="7">
        <v>120828</v>
      </c>
      <c r="C13" s="8">
        <v>104962</v>
      </c>
      <c r="D13" s="8">
        <f t="shared" si="0"/>
        <v>225790</v>
      </c>
    </row>
    <row r="14" spans="1:4" x14ac:dyDescent="0.2">
      <c r="A14" s="2">
        <v>2035</v>
      </c>
      <c r="B14" s="7">
        <v>135328</v>
      </c>
      <c r="C14" s="8">
        <v>144854</v>
      </c>
      <c r="D14" s="8">
        <f t="shared" si="0"/>
        <v>280182</v>
      </c>
    </row>
    <row r="15" spans="1:4" x14ac:dyDescent="0.2">
      <c r="A15" s="13" t="s">
        <v>0</v>
      </c>
      <c r="B15" s="16">
        <f t="shared" ref="B15:D15" si="1">SUM(B3:B14)</f>
        <v>856388</v>
      </c>
      <c r="C15" s="16">
        <f t="shared" si="1"/>
        <v>432277</v>
      </c>
      <c r="D15" s="16">
        <f t="shared" si="1"/>
        <v>1288665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TAM</vt:lpstr>
      <vt:lpstr>SAM</vt:lpstr>
      <vt:lpstr>SOM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Alkan</dc:creator>
  <cp:lastModifiedBy>Canhan sen (Alumni)</cp:lastModifiedBy>
  <dcterms:created xsi:type="dcterms:W3CDTF">2025-12-04T09:57:26Z</dcterms:created>
  <dcterms:modified xsi:type="dcterms:W3CDTF">2025-12-04T21:16:59Z</dcterms:modified>
</cp:coreProperties>
</file>